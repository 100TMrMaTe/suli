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liscucc\suli\2025-2026\ERETTSEGI\2023maj\Forras\1B_Adoazonosito_jel\"/>
    </mc:Choice>
  </mc:AlternateContent>
  <xr:revisionPtr revIDLastSave="0" documentId="13_ncr:1_{772C1712-C8BB-42ED-9BCB-30166CC75372}" xr6:coauthVersionLast="47" xr6:coauthVersionMax="47" xr10:uidLastSave="{00000000-0000-0000-0000-000000000000}"/>
  <bookViews>
    <workbookView xWindow="-120" yWindow="-120" windowWidth="29040" windowHeight="15720" xr2:uid="{00ED92FA-B175-4015-B672-405B9CE7071C}"/>
  </bookViews>
  <sheets>
    <sheet name="Adatlap" sheetId="1" r:id="rId1"/>
    <sheet name="Feldolgozá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L2" i="2"/>
  <c r="L3" i="2"/>
  <c r="B3" i="2"/>
  <c r="C3" i="2"/>
  <c r="D3" i="2"/>
  <c r="E3" i="2"/>
  <c r="F3" i="2"/>
  <c r="G3" i="2"/>
  <c r="H3" i="2"/>
  <c r="I3" i="2"/>
  <c r="J3" i="2"/>
  <c r="K3" i="2"/>
  <c r="B4" i="2"/>
  <c r="C4" i="2"/>
  <c r="D4" i="2"/>
  <c r="E4" i="2"/>
  <c r="F4" i="2"/>
  <c r="G4" i="2"/>
  <c r="H4" i="2"/>
  <c r="I4" i="2"/>
  <c r="J4" i="2"/>
  <c r="K4" i="2"/>
  <c r="B5" i="2"/>
  <c r="C5" i="2"/>
  <c r="D5" i="2"/>
  <c r="E5" i="2"/>
  <c r="F5" i="2"/>
  <c r="G5" i="2"/>
  <c r="H5" i="2"/>
  <c r="I5" i="2"/>
  <c r="J5" i="2"/>
  <c r="K5" i="2"/>
  <c r="B6" i="2"/>
  <c r="C6" i="2"/>
  <c r="D6" i="2"/>
  <c r="E6" i="2"/>
  <c r="F6" i="2"/>
  <c r="G6" i="2"/>
  <c r="H6" i="2"/>
  <c r="I6" i="2"/>
  <c r="J6" i="2"/>
  <c r="K6" i="2"/>
  <c r="B7" i="2"/>
  <c r="C7" i="2"/>
  <c r="D7" i="2"/>
  <c r="E7" i="2"/>
  <c r="F7" i="2"/>
  <c r="G7" i="2"/>
  <c r="H7" i="2"/>
  <c r="I7" i="2"/>
  <c r="J7" i="2"/>
  <c r="K7" i="2"/>
  <c r="B8" i="2"/>
  <c r="C8" i="2"/>
  <c r="D8" i="2"/>
  <c r="E8" i="2"/>
  <c r="F8" i="2"/>
  <c r="G8" i="2"/>
  <c r="H8" i="2"/>
  <c r="I8" i="2"/>
  <c r="J8" i="2"/>
  <c r="K8" i="2"/>
  <c r="B9" i="2"/>
  <c r="C9" i="2"/>
  <c r="D9" i="2"/>
  <c r="E9" i="2"/>
  <c r="F9" i="2"/>
  <c r="G9" i="2"/>
  <c r="H9" i="2"/>
  <c r="I9" i="2"/>
  <c r="J9" i="2"/>
  <c r="K9" i="2"/>
  <c r="B10" i="2"/>
  <c r="C10" i="2"/>
  <c r="D10" i="2"/>
  <c r="E10" i="2"/>
  <c r="F10" i="2"/>
  <c r="G10" i="2"/>
  <c r="H10" i="2"/>
  <c r="I10" i="2"/>
  <c r="J10" i="2"/>
  <c r="K10" i="2"/>
  <c r="B11" i="2"/>
  <c r="C11" i="2"/>
  <c r="D11" i="2"/>
  <c r="E11" i="2"/>
  <c r="F11" i="2"/>
  <c r="G11" i="2"/>
  <c r="H11" i="2"/>
  <c r="I11" i="2"/>
  <c r="J11" i="2"/>
  <c r="K11" i="2"/>
  <c r="B12" i="2"/>
  <c r="C12" i="2"/>
  <c r="D12" i="2"/>
  <c r="E12" i="2"/>
  <c r="F12" i="2"/>
  <c r="G12" i="2"/>
  <c r="H12" i="2"/>
  <c r="I12" i="2"/>
  <c r="J12" i="2"/>
  <c r="K12" i="2"/>
  <c r="B13" i="2"/>
  <c r="C13" i="2"/>
  <c r="D13" i="2"/>
  <c r="E13" i="2"/>
  <c r="F13" i="2"/>
  <c r="G13" i="2"/>
  <c r="H13" i="2"/>
  <c r="I13" i="2"/>
  <c r="J13" i="2"/>
  <c r="K13" i="2"/>
  <c r="B14" i="2"/>
  <c r="C14" i="2"/>
  <c r="D14" i="2"/>
  <c r="E14" i="2"/>
  <c r="F14" i="2"/>
  <c r="G14" i="2"/>
  <c r="H14" i="2"/>
  <c r="I14" i="2"/>
  <c r="J14" i="2"/>
  <c r="K14" i="2"/>
  <c r="B15" i="2"/>
  <c r="C15" i="2"/>
  <c r="D15" i="2"/>
  <c r="E15" i="2"/>
  <c r="F15" i="2"/>
  <c r="G15" i="2"/>
  <c r="H15" i="2"/>
  <c r="I15" i="2"/>
  <c r="J15" i="2"/>
  <c r="K15" i="2"/>
  <c r="B16" i="2"/>
  <c r="C16" i="2"/>
  <c r="D16" i="2"/>
  <c r="E16" i="2"/>
  <c r="F16" i="2"/>
  <c r="G16" i="2"/>
  <c r="H16" i="2"/>
  <c r="I16" i="2"/>
  <c r="J16" i="2"/>
  <c r="K16" i="2"/>
  <c r="B17" i="2"/>
  <c r="C17" i="2"/>
  <c r="D17" i="2"/>
  <c r="E17" i="2"/>
  <c r="F17" i="2"/>
  <c r="G17" i="2"/>
  <c r="H17" i="2"/>
  <c r="I17" i="2"/>
  <c r="J17" i="2"/>
  <c r="K17" i="2"/>
  <c r="B18" i="2"/>
  <c r="C18" i="2"/>
  <c r="D18" i="2"/>
  <c r="E18" i="2"/>
  <c r="F18" i="2"/>
  <c r="G18" i="2"/>
  <c r="H18" i="2"/>
  <c r="I18" i="2"/>
  <c r="J18" i="2"/>
  <c r="K18" i="2"/>
  <c r="B19" i="2"/>
  <c r="C19" i="2"/>
  <c r="D19" i="2"/>
  <c r="E19" i="2"/>
  <c r="F19" i="2"/>
  <c r="G19" i="2"/>
  <c r="H19" i="2"/>
  <c r="I19" i="2"/>
  <c r="J19" i="2"/>
  <c r="K19" i="2"/>
  <c r="B20" i="2"/>
  <c r="C20" i="2"/>
  <c r="D20" i="2"/>
  <c r="E20" i="2"/>
  <c r="F20" i="2"/>
  <c r="G20" i="2"/>
  <c r="H20" i="2"/>
  <c r="I20" i="2"/>
  <c r="J20" i="2"/>
  <c r="K20" i="2"/>
  <c r="B21" i="2"/>
  <c r="C21" i="2"/>
  <c r="D21" i="2"/>
  <c r="E21" i="2"/>
  <c r="F21" i="2"/>
  <c r="G21" i="2"/>
  <c r="H21" i="2"/>
  <c r="I21" i="2"/>
  <c r="J21" i="2"/>
  <c r="K21" i="2"/>
  <c r="B22" i="2"/>
  <c r="C22" i="2"/>
  <c r="D22" i="2"/>
  <c r="E22" i="2"/>
  <c r="F22" i="2"/>
  <c r="G22" i="2"/>
  <c r="H22" i="2"/>
  <c r="I22" i="2"/>
  <c r="J22" i="2"/>
  <c r="K22" i="2"/>
  <c r="B23" i="2"/>
  <c r="C23" i="2"/>
  <c r="D23" i="2"/>
  <c r="E23" i="2"/>
  <c r="F23" i="2"/>
  <c r="G23" i="2"/>
  <c r="H23" i="2"/>
  <c r="I23" i="2"/>
  <c r="J23" i="2"/>
  <c r="K23" i="2"/>
  <c r="B24" i="2"/>
  <c r="C24" i="2"/>
  <c r="D24" i="2"/>
  <c r="E24" i="2"/>
  <c r="F24" i="2"/>
  <c r="G24" i="2"/>
  <c r="H24" i="2"/>
  <c r="I24" i="2"/>
  <c r="J24" i="2"/>
  <c r="K24" i="2"/>
  <c r="F2" i="2"/>
  <c r="G2" i="2"/>
  <c r="H2" i="2"/>
  <c r="I2" i="2"/>
  <c r="J2" i="2"/>
  <c r="K2" i="2"/>
  <c r="B2" i="2"/>
  <c r="C2" i="2"/>
  <c r="D2" i="2"/>
  <c r="E2" i="2"/>
  <c r="L15" i="2" l="1"/>
  <c r="L18" i="2"/>
  <c r="L9" i="2"/>
  <c r="L8" i="2"/>
  <c r="L23" i="2"/>
  <c r="L20" i="2"/>
  <c r="L13" i="2"/>
  <c r="L6" i="2"/>
  <c r="L24" i="2"/>
  <c r="L10" i="2"/>
  <c r="L22" i="2"/>
  <c r="L11" i="2"/>
  <c r="L4" i="2"/>
  <c r="L12" i="2"/>
  <c r="L19" i="2"/>
  <c r="L5" i="2"/>
  <c r="L16" i="2"/>
  <c r="L14" i="2"/>
  <c r="L17" i="2"/>
  <c r="L21" i="2"/>
  <c r="L7" i="2"/>
</calcChain>
</file>

<file path=xl/sharedStrings.xml><?xml version="1.0" encoding="utf-8"?>
<sst xmlns="http://schemas.openxmlformats.org/spreadsheetml/2006/main" count="34" uniqueCount="32">
  <si>
    <t>Sorszám</t>
  </si>
  <si>
    <t>Név</t>
  </si>
  <si>
    <t>Születési év</t>
  </si>
  <si>
    <t>Hó</t>
  </si>
  <si>
    <t>Nap</t>
  </si>
  <si>
    <t>Azonosító</t>
  </si>
  <si>
    <t>Azonosítók</t>
  </si>
  <si>
    <t>Ellenőrzés</t>
  </si>
  <si>
    <t>Születési dátum</t>
  </si>
  <si>
    <t>Skvar Tamás</t>
  </si>
  <si>
    <t>Tatár István</t>
  </si>
  <si>
    <t>Siket Karen</t>
  </si>
  <si>
    <t>Horváth Mercédesz</t>
  </si>
  <si>
    <t>Dombovári Petra</t>
  </si>
  <si>
    <t>Rém Elek</t>
  </si>
  <si>
    <t>Kamarás Zsófia Viktória</t>
  </si>
  <si>
    <t>Sebő Tas</t>
  </si>
  <si>
    <t>Szendrődi Csaba</t>
  </si>
  <si>
    <t>Berger Péter</t>
  </si>
  <si>
    <t>Csonka Anna</t>
  </si>
  <si>
    <t>Szelei Anikó Dorina</t>
  </si>
  <si>
    <t>Kovács Ágnes</t>
  </si>
  <si>
    <t>Szőke Mátyás</t>
  </si>
  <si>
    <t>Kiss Zsófia</t>
  </si>
  <si>
    <t>Bakos Kata Judit</t>
  </si>
  <si>
    <t>Bodnár Anna Katalin</t>
  </si>
  <si>
    <t>Keszthelyi Zsolt</t>
  </si>
  <si>
    <t>Kiss Lajos</t>
  </si>
  <si>
    <t>Szabó Orsolya Virág</t>
  </si>
  <si>
    <t>Szorzatösszeg</t>
  </si>
  <si>
    <t>Személyek</t>
  </si>
  <si>
    <t>Nem azonosított jelek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</si>
</sst>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ál" xfId="0" builtinId="0"/>
  </cellStyles>
  <dxfs count="15"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FF00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EF66-0E3A-425D-B971-2689A31EC1AB}">
  <dimension ref="A1:M25"/>
  <sheetViews>
    <sheetView tabSelected="1" workbookViewId="0">
      <selection activeCell="R25" sqref="R25"/>
    </sheetView>
  </sheetViews>
  <sheetFormatPr defaultRowHeight="15" x14ac:dyDescent="0.25"/>
  <cols>
    <col min="10" max="10" width="12" bestFit="1" customWidth="1"/>
  </cols>
  <sheetData>
    <row r="1" spans="1:13" x14ac:dyDescent="0.25">
      <c r="A1" s="1" t="s">
        <v>30</v>
      </c>
      <c r="B1" s="1"/>
      <c r="C1" s="1"/>
      <c r="D1" s="1"/>
      <c r="E1" s="1"/>
      <c r="F1" s="1"/>
      <c r="G1" s="2"/>
      <c r="H1" s="2"/>
      <c r="I1" s="1" t="s">
        <v>31</v>
      </c>
      <c r="J1" s="1"/>
      <c r="K1" s="1"/>
      <c r="L1" s="1"/>
      <c r="M1" s="1"/>
    </row>
    <row r="2" spans="1:13" ht="30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/>
      <c r="H2" s="2"/>
      <c r="I2" s="2" t="s">
        <v>0</v>
      </c>
      <c r="J2" s="2" t="s">
        <v>6</v>
      </c>
      <c r="K2" s="2" t="s">
        <v>7</v>
      </c>
      <c r="L2" s="2" t="s">
        <v>8</v>
      </c>
      <c r="M2" s="2"/>
    </row>
    <row r="3" spans="1:13" x14ac:dyDescent="0.25">
      <c r="A3">
        <v>1</v>
      </c>
      <c r="B3" t="s">
        <v>9</v>
      </c>
      <c r="C3">
        <v>1983</v>
      </c>
      <c r="D3">
        <v>7</v>
      </c>
      <c r="E3">
        <v>11</v>
      </c>
      <c r="I3">
        <v>1</v>
      </c>
      <c r="J3">
        <v>8347566259</v>
      </c>
      <c r="K3" t="b">
        <f>AND(MOD(Feldolgozás!L2,11)=Feldolgozás!K2,LEN(J3)=10)</f>
        <v>1</v>
      </c>
    </row>
    <row r="4" spans="1:13" x14ac:dyDescent="0.25">
      <c r="A4">
        <v>2</v>
      </c>
      <c r="B4" t="s">
        <v>10</v>
      </c>
      <c r="C4">
        <v>2009</v>
      </c>
      <c r="D4">
        <v>6</v>
      </c>
      <c r="E4">
        <v>21</v>
      </c>
      <c r="I4">
        <v>2</v>
      </c>
      <c r="J4">
        <v>8393233704</v>
      </c>
      <c r="K4" t="b">
        <f>AND(MOD(Feldolgozás!L3,11)=Feldolgozás!K3,LEN(J4)=10)</f>
        <v>1</v>
      </c>
    </row>
    <row r="5" spans="1:13" x14ac:dyDescent="0.25">
      <c r="A5">
        <v>3</v>
      </c>
      <c r="B5" t="s">
        <v>11</v>
      </c>
      <c r="C5">
        <v>1984</v>
      </c>
      <c r="D5">
        <v>5</v>
      </c>
      <c r="E5">
        <v>1</v>
      </c>
      <c r="I5">
        <v>3</v>
      </c>
      <c r="J5">
        <v>8505565134</v>
      </c>
      <c r="K5" t="b">
        <f>AND(MOD(Feldolgozás!L4,11)=Feldolgozás!K4,LEN(J5)=10)</f>
        <v>1</v>
      </c>
    </row>
    <row r="6" spans="1:13" x14ac:dyDescent="0.25">
      <c r="A6">
        <v>4</v>
      </c>
      <c r="B6" t="s">
        <v>12</v>
      </c>
      <c r="C6">
        <v>1973</v>
      </c>
      <c r="D6">
        <v>4</v>
      </c>
      <c r="E6">
        <v>10</v>
      </c>
      <c r="I6">
        <v>4</v>
      </c>
      <c r="J6">
        <v>8365097672</v>
      </c>
      <c r="K6" t="b">
        <f>AND(MOD(Feldolgozás!L5,11)=Feldolgozás!K5,LEN(J6)=10)</f>
        <v>1</v>
      </c>
    </row>
    <row r="7" spans="1:13" x14ac:dyDescent="0.25">
      <c r="A7">
        <v>5</v>
      </c>
      <c r="B7" t="s">
        <v>13</v>
      </c>
      <c r="C7">
        <v>1956</v>
      </c>
      <c r="D7">
        <v>11</v>
      </c>
      <c r="E7">
        <v>25</v>
      </c>
      <c r="I7">
        <v>5</v>
      </c>
      <c r="J7">
        <v>8513288153</v>
      </c>
      <c r="K7" t="b">
        <f>AND(MOD(Feldolgozás!L6,11)=Feldolgozás!K6,LEN(J7)=10)</f>
        <v>0</v>
      </c>
    </row>
    <row r="8" spans="1:13" x14ac:dyDescent="0.25">
      <c r="A8">
        <v>6</v>
      </c>
      <c r="B8" t="s">
        <v>14</v>
      </c>
      <c r="C8">
        <v>2000</v>
      </c>
      <c r="D8">
        <v>4</v>
      </c>
      <c r="E8">
        <v>6</v>
      </c>
      <c r="I8">
        <v>6</v>
      </c>
      <c r="J8">
        <v>8390291061</v>
      </c>
      <c r="K8" t="b">
        <f>AND(MOD(Feldolgozás!L7,11)=Feldolgozás!K7,LEN(J8)=10)</f>
        <v>1</v>
      </c>
    </row>
    <row r="9" spans="1:13" x14ac:dyDescent="0.25">
      <c r="A9">
        <v>7</v>
      </c>
      <c r="B9" t="s">
        <v>15</v>
      </c>
      <c r="C9">
        <v>1984</v>
      </c>
      <c r="D9">
        <v>11</v>
      </c>
      <c r="E9">
        <v>3</v>
      </c>
      <c r="I9">
        <v>7</v>
      </c>
      <c r="J9">
        <v>8486735564</v>
      </c>
      <c r="K9" t="b">
        <f>AND(MOD(Feldolgozás!L8,11)=Feldolgozás!K8,LEN(J9)=10)</f>
        <v>1</v>
      </c>
    </row>
    <row r="10" spans="1:13" x14ac:dyDescent="0.25">
      <c r="A10">
        <v>8</v>
      </c>
      <c r="B10" t="s">
        <v>16</v>
      </c>
      <c r="C10">
        <v>1963</v>
      </c>
      <c r="D10">
        <v>10</v>
      </c>
      <c r="E10">
        <v>19</v>
      </c>
      <c r="I10">
        <v>8</v>
      </c>
      <c r="J10">
        <v>8399469238</v>
      </c>
      <c r="K10" t="b">
        <f>AND(MOD(Feldolgozás!L9,11)=Feldolgozás!K9,LEN(J10)=10)</f>
        <v>1</v>
      </c>
    </row>
    <row r="11" spans="1:13" x14ac:dyDescent="0.25">
      <c r="A11">
        <v>9</v>
      </c>
      <c r="B11" t="s">
        <v>17</v>
      </c>
      <c r="C11">
        <v>1970</v>
      </c>
      <c r="D11">
        <v>6</v>
      </c>
      <c r="E11">
        <v>15</v>
      </c>
      <c r="I11">
        <v>9</v>
      </c>
      <c r="J11">
        <v>8428548358</v>
      </c>
      <c r="K11" t="b">
        <f>AND(MOD(Feldolgozás!L10,11)=Feldolgozás!K10,LEN(J11)=10)</f>
        <v>1</v>
      </c>
    </row>
    <row r="12" spans="1:13" x14ac:dyDescent="0.25">
      <c r="A12">
        <v>10</v>
      </c>
      <c r="B12" t="s">
        <v>18</v>
      </c>
      <c r="C12">
        <v>1979</v>
      </c>
      <c r="D12">
        <v>11</v>
      </c>
      <c r="E12">
        <v>24</v>
      </c>
      <c r="I12">
        <v>10</v>
      </c>
      <c r="J12">
        <v>8418772794</v>
      </c>
      <c r="K12" t="b">
        <f>AND(MOD(Feldolgozás!L11,11)=Feldolgozás!K11,LEN(J12)=10)</f>
        <v>1</v>
      </c>
    </row>
    <row r="13" spans="1:13" x14ac:dyDescent="0.25">
      <c r="A13">
        <v>11</v>
      </c>
      <c r="B13" t="s">
        <v>19</v>
      </c>
      <c r="C13">
        <v>1966</v>
      </c>
      <c r="D13">
        <v>12</v>
      </c>
      <c r="E13">
        <v>17</v>
      </c>
      <c r="I13">
        <v>11</v>
      </c>
      <c r="J13">
        <v>8328357240</v>
      </c>
      <c r="K13" t="b">
        <f>AND(MOD(Feldolgozás!L12,11)=Feldolgozás!K12,LEN(J13)=10)</f>
        <v>1</v>
      </c>
    </row>
    <row r="14" spans="1:13" x14ac:dyDescent="0.25">
      <c r="A14">
        <v>12</v>
      </c>
      <c r="B14" t="s">
        <v>20</v>
      </c>
      <c r="C14">
        <v>1966</v>
      </c>
      <c r="D14">
        <v>12</v>
      </c>
      <c r="E14">
        <v>21</v>
      </c>
      <c r="I14">
        <v>12</v>
      </c>
      <c r="J14">
        <v>8357364004</v>
      </c>
      <c r="K14" t="b">
        <f>AND(MOD(Feldolgozás!L13,11)=Feldolgozás!K13,LEN(J14)=10)</f>
        <v>1</v>
      </c>
    </row>
    <row r="15" spans="1:13" x14ac:dyDescent="0.25">
      <c r="A15">
        <v>13</v>
      </c>
      <c r="B15" t="s">
        <v>21</v>
      </c>
      <c r="C15">
        <v>1973</v>
      </c>
      <c r="D15">
        <v>11</v>
      </c>
      <c r="E15">
        <v>10</v>
      </c>
      <c r="I15">
        <v>13</v>
      </c>
      <c r="J15">
        <v>8430408169</v>
      </c>
      <c r="K15" t="b">
        <f>AND(MOD(Feldolgozás!L14,11)=Feldolgozás!K14,LEN(J15)=10)</f>
        <v>1</v>
      </c>
    </row>
    <row r="16" spans="1:13" x14ac:dyDescent="0.25">
      <c r="A16">
        <v>14</v>
      </c>
      <c r="B16" t="s">
        <v>22</v>
      </c>
      <c r="C16">
        <v>1964</v>
      </c>
      <c r="D16">
        <v>11</v>
      </c>
      <c r="E16">
        <v>4</v>
      </c>
      <c r="I16">
        <v>14</v>
      </c>
      <c r="J16">
        <v>8412341600</v>
      </c>
      <c r="K16" t="b">
        <f>AND(MOD(Feldolgozás!L15,11)=Feldolgozás!K15,LEN(J16)=10)</f>
        <v>1</v>
      </c>
    </row>
    <row r="17" spans="1:11" x14ac:dyDescent="0.25">
      <c r="A17">
        <v>15</v>
      </c>
      <c r="B17" t="s">
        <v>23</v>
      </c>
      <c r="C17">
        <v>1974</v>
      </c>
      <c r="D17">
        <v>8</v>
      </c>
      <c r="E17">
        <v>31</v>
      </c>
      <c r="I17">
        <v>15</v>
      </c>
      <c r="J17">
        <v>8425595762</v>
      </c>
      <c r="K17" t="b">
        <f>AND(MOD(Feldolgozás!L16,11)=Feldolgozás!K16,LEN(J17)=10)</f>
        <v>1</v>
      </c>
    </row>
    <row r="18" spans="1:11" x14ac:dyDescent="0.25">
      <c r="A18">
        <v>16</v>
      </c>
      <c r="B18" t="s">
        <v>24</v>
      </c>
      <c r="C18">
        <v>1976</v>
      </c>
      <c r="D18">
        <v>5</v>
      </c>
      <c r="E18">
        <v>15</v>
      </c>
      <c r="I18">
        <v>16</v>
      </c>
      <c r="J18">
        <v>8365137992</v>
      </c>
      <c r="K18" t="b">
        <f>AND(MOD(Feldolgozás!L17,11)=Feldolgozás!K17,LEN(J18)=10)</f>
        <v>1</v>
      </c>
    </row>
    <row r="19" spans="1:11" x14ac:dyDescent="0.25">
      <c r="A19">
        <v>17</v>
      </c>
      <c r="B19" t="s">
        <v>25</v>
      </c>
      <c r="C19">
        <v>1962</v>
      </c>
      <c r="D19">
        <v>2</v>
      </c>
      <c r="E19">
        <v>28</v>
      </c>
      <c r="I19">
        <v>17</v>
      </c>
      <c r="J19">
        <v>8388159739</v>
      </c>
      <c r="K19" t="b">
        <f>AND(MOD(Feldolgozás!L18,11)=Feldolgozás!K18,LEN(J19)=10)</f>
        <v>1</v>
      </c>
    </row>
    <row r="20" spans="1:11" x14ac:dyDescent="0.25">
      <c r="A20">
        <v>18</v>
      </c>
      <c r="B20" t="s">
        <v>26</v>
      </c>
      <c r="C20">
        <v>2005</v>
      </c>
      <c r="D20">
        <v>6</v>
      </c>
      <c r="E20">
        <v>2</v>
      </c>
      <c r="I20">
        <v>18</v>
      </c>
      <c r="J20">
        <v>8520366457</v>
      </c>
      <c r="K20" t="b">
        <f>AND(MOD(Feldolgozás!L19,11)=Feldolgozás!K19,LEN(J20)=10)</f>
        <v>1</v>
      </c>
    </row>
    <row r="21" spans="1:11" x14ac:dyDescent="0.25">
      <c r="A21">
        <v>19</v>
      </c>
      <c r="B21" t="s">
        <v>27</v>
      </c>
      <c r="C21">
        <v>1984</v>
      </c>
      <c r="D21">
        <v>3</v>
      </c>
      <c r="E21">
        <v>24</v>
      </c>
      <c r="I21">
        <v>19</v>
      </c>
      <c r="J21">
        <v>85286734810</v>
      </c>
      <c r="K21" t="b">
        <f>AND(MOD(Feldolgozás!L20,11)=Feldolgozás!K20,LEN(J21)=10)</f>
        <v>0</v>
      </c>
    </row>
    <row r="22" spans="1:11" x14ac:dyDescent="0.25">
      <c r="A22">
        <v>20</v>
      </c>
      <c r="B22" t="s">
        <v>28</v>
      </c>
      <c r="C22">
        <v>1981</v>
      </c>
      <c r="D22">
        <v>8</v>
      </c>
      <c r="E22">
        <v>28</v>
      </c>
      <c r="I22">
        <v>20</v>
      </c>
      <c r="J22">
        <v>8428169047</v>
      </c>
      <c r="K22" t="b">
        <f>AND(MOD(Feldolgozás!L21,11)=Feldolgozás!K21,LEN(J22)=10)</f>
        <v>1</v>
      </c>
    </row>
    <row r="23" spans="1:11" x14ac:dyDescent="0.25">
      <c r="I23">
        <v>21</v>
      </c>
      <c r="J23">
        <v>8353543036</v>
      </c>
      <c r="K23" t="b">
        <f>AND(MOD(Feldolgozás!L22,11)=Feldolgozás!K22,LEN(J23)=10)</f>
        <v>1</v>
      </c>
    </row>
    <row r="24" spans="1:11" x14ac:dyDescent="0.25">
      <c r="I24">
        <v>22</v>
      </c>
      <c r="J24">
        <v>8483307864</v>
      </c>
      <c r="K24" t="b">
        <f>AND(MOD(Feldolgozás!L23,11)=Feldolgozás!K23,LEN(J24)=10)</f>
        <v>0</v>
      </c>
    </row>
    <row r="25" spans="1:11" x14ac:dyDescent="0.25">
      <c r="I25">
        <v>23</v>
      </c>
      <c r="J25">
        <v>8377852675</v>
      </c>
      <c r="K25" t="b">
        <f>AND(MOD(Feldolgozás!L24,11)=Feldolgozás!K24,LEN(J25)=10)</f>
        <v>1</v>
      </c>
    </row>
  </sheetData>
  <mergeCells count="2">
    <mergeCell ref="A1:F1"/>
    <mergeCell ref="I1:M1"/>
  </mergeCells>
  <conditionalFormatting sqref="I3:K25">
    <cfRule type="cellIs" dxfId="4" priority="3" operator="equal">
      <formula>$K$3 ="hamis"</formula>
    </cfRule>
  </conditionalFormatting>
  <conditionalFormatting sqref="I3:J25">
    <cfRule type="expression" dxfId="0" priority="2">
      <formula>$K3 = "hamis"</formula>
    </cfRule>
    <cfRule type="cellIs" dxfId="1" priority="1" operator="equal">
      <formula>$K3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5580-AFE5-4F59-92AC-F29A4E7D3E0C}">
  <dimension ref="A1:L24"/>
  <sheetViews>
    <sheetView workbookViewId="0">
      <selection activeCell="P5" sqref="P5"/>
    </sheetView>
  </sheetViews>
  <sheetFormatPr defaultRowHeight="15" x14ac:dyDescent="0.25"/>
  <cols>
    <col min="12" max="12" width="13.28515625" bestFit="1" customWidth="1"/>
  </cols>
  <sheetData>
    <row r="1" spans="1:12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 t="s">
        <v>29</v>
      </c>
    </row>
    <row r="2" spans="1:12" x14ac:dyDescent="0.25">
      <c r="A2">
        <v>1</v>
      </c>
      <c r="B2">
        <f>_xlfn.NUMBERVALUE(MID(Adatlap!$J3,B$1,1))</f>
        <v>8</v>
      </c>
      <c r="C2">
        <f>_xlfn.NUMBERVALUE(MID(Adatlap!$J3,C$1,1))</f>
        <v>3</v>
      </c>
      <c r="D2">
        <f>_xlfn.NUMBERVALUE(MID(Adatlap!$J3,D$1,1))</f>
        <v>4</v>
      </c>
      <c r="E2">
        <f>_xlfn.NUMBERVALUE(MID(Adatlap!$J3,E$1,1))</f>
        <v>7</v>
      </c>
      <c r="F2">
        <f>_xlfn.NUMBERVALUE(MID(Adatlap!$J3,F$1,1))</f>
        <v>5</v>
      </c>
      <c r="G2">
        <f>_xlfn.NUMBERVALUE(MID(Adatlap!$J3,G$1,1))</f>
        <v>6</v>
      </c>
      <c r="H2">
        <f>_xlfn.NUMBERVALUE(MID(Adatlap!$J3,H$1,1))</f>
        <v>6</v>
      </c>
      <c r="I2">
        <f>_xlfn.NUMBERVALUE(MID(Adatlap!$J3,I$1,1))</f>
        <v>2</v>
      </c>
      <c r="J2">
        <f>_xlfn.NUMBERVALUE(MID(Adatlap!$J3,J$1,1))</f>
        <v>5</v>
      </c>
      <c r="K2">
        <f>_xlfn.NUMBERVALUE(MID(Adatlap!$J3,K$1,1))</f>
        <v>9</v>
      </c>
      <c r="L2">
        <f>SUMPRODUCT($B$1:$J$1,B2:J2)</f>
        <v>218</v>
      </c>
    </row>
    <row r="3" spans="1:12" x14ac:dyDescent="0.25">
      <c r="A3">
        <v>2</v>
      </c>
      <c r="B3">
        <f>_xlfn.NUMBERVALUE(MID(Adatlap!$J4,B$1,1))</f>
        <v>8</v>
      </c>
      <c r="C3">
        <f>_xlfn.NUMBERVALUE(MID(Adatlap!$J4,C$1,1))</f>
        <v>3</v>
      </c>
      <c r="D3">
        <f>_xlfn.NUMBERVALUE(MID(Adatlap!$J4,D$1,1))</f>
        <v>9</v>
      </c>
      <c r="E3">
        <f>_xlfn.NUMBERVALUE(MID(Adatlap!$J4,E$1,1))</f>
        <v>3</v>
      </c>
      <c r="F3">
        <f>_xlfn.NUMBERVALUE(MID(Adatlap!$J4,F$1,1))</f>
        <v>2</v>
      </c>
      <c r="G3">
        <f>_xlfn.NUMBERVALUE(MID(Adatlap!$J4,G$1,1))</f>
        <v>3</v>
      </c>
      <c r="H3">
        <f>_xlfn.NUMBERVALUE(MID(Adatlap!$J4,H$1,1))</f>
        <v>3</v>
      </c>
      <c r="I3">
        <f>_xlfn.NUMBERVALUE(MID(Adatlap!$J4,I$1,1))</f>
        <v>7</v>
      </c>
      <c r="J3">
        <f>_xlfn.NUMBERVALUE(MID(Adatlap!$J4,J$1,1))</f>
        <v>0</v>
      </c>
      <c r="K3">
        <f>_xlfn.NUMBERVALUE(MID(Adatlap!$J4,K$1,1))</f>
        <v>4</v>
      </c>
      <c r="L3">
        <f>SUMPRODUCT($B$1:$J$1,B3:J3)</f>
        <v>158</v>
      </c>
    </row>
    <row r="4" spans="1:12" x14ac:dyDescent="0.25">
      <c r="A4">
        <v>3</v>
      </c>
      <c r="B4">
        <f>_xlfn.NUMBERVALUE(MID(Adatlap!$J5,B$1,1))</f>
        <v>8</v>
      </c>
      <c r="C4">
        <f>_xlfn.NUMBERVALUE(MID(Adatlap!$J5,C$1,1))</f>
        <v>5</v>
      </c>
      <c r="D4">
        <f>_xlfn.NUMBERVALUE(MID(Adatlap!$J5,D$1,1))</f>
        <v>0</v>
      </c>
      <c r="E4">
        <f>_xlfn.NUMBERVALUE(MID(Adatlap!$J5,E$1,1))</f>
        <v>5</v>
      </c>
      <c r="F4">
        <f>_xlfn.NUMBERVALUE(MID(Adatlap!$J5,F$1,1))</f>
        <v>5</v>
      </c>
      <c r="G4">
        <f>_xlfn.NUMBERVALUE(MID(Adatlap!$J5,G$1,1))</f>
        <v>6</v>
      </c>
      <c r="H4">
        <f>_xlfn.NUMBERVALUE(MID(Adatlap!$J5,H$1,1))</f>
        <v>5</v>
      </c>
      <c r="I4">
        <f>_xlfn.NUMBERVALUE(MID(Adatlap!$J5,I$1,1))</f>
        <v>1</v>
      </c>
      <c r="J4">
        <f>_xlfn.NUMBERVALUE(MID(Adatlap!$J5,J$1,1))</f>
        <v>3</v>
      </c>
      <c r="K4">
        <f>_xlfn.NUMBERVALUE(MID(Adatlap!$J5,K$1,1))</f>
        <v>4</v>
      </c>
      <c r="L4">
        <f t="shared" ref="L3:L24" si="0">SUMPRODUCT($B$1:$J$1,B4:J4)</f>
        <v>169</v>
      </c>
    </row>
    <row r="5" spans="1:12" x14ac:dyDescent="0.25">
      <c r="A5">
        <v>4</v>
      </c>
      <c r="B5">
        <f>_xlfn.NUMBERVALUE(MID(Adatlap!$J6,B$1,1))</f>
        <v>8</v>
      </c>
      <c r="C5">
        <f>_xlfn.NUMBERVALUE(MID(Adatlap!$J6,C$1,1))</f>
        <v>3</v>
      </c>
      <c r="D5">
        <f>_xlfn.NUMBERVALUE(MID(Adatlap!$J6,D$1,1))</f>
        <v>6</v>
      </c>
      <c r="E5">
        <f>_xlfn.NUMBERVALUE(MID(Adatlap!$J6,E$1,1))</f>
        <v>5</v>
      </c>
      <c r="F5">
        <f>_xlfn.NUMBERVALUE(MID(Adatlap!$J6,F$1,1))</f>
        <v>0</v>
      </c>
      <c r="G5">
        <f>_xlfn.NUMBERVALUE(MID(Adatlap!$J6,G$1,1))</f>
        <v>9</v>
      </c>
      <c r="H5">
        <f>_xlfn.NUMBERVALUE(MID(Adatlap!$J6,H$1,1))</f>
        <v>7</v>
      </c>
      <c r="I5">
        <f>_xlfn.NUMBERVALUE(MID(Adatlap!$J6,I$1,1))</f>
        <v>6</v>
      </c>
      <c r="J5">
        <f>_xlfn.NUMBERVALUE(MID(Adatlap!$J6,J$1,1))</f>
        <v>7</v>
      </c>
      <c r="K5">
        <f>_xlfn.NUMBERVALUE(MID(Adatlap!$J6,K$1,1))</f>
        <v>2</v>
      </c>
      <c r="L5">
        <f t="shared" si="0"/>
        <v>266</v>
      </c>
    </row>
    <row r="6" spans="1:12" x14ac:dyDescent="0.25">
      <c r="A6">
        <v>5</v>
      </c>
      <c r="B6">
        <f>_xlfn.NUMBERVALUE(MID(Adatlap!$J7,B$1,1))</f>
        <v>8</v>
      </c>
      <c r="C6">
        <f>_xlfn.NUMBERVALUE(MID(Adatlap!$J7,C$1,1))</f>
        <v>5</v>
      </c>
      <c r="D6">
        <f>_xlfn.NUMBERVALUE(MID(Adatlap!$J7,D$1,1))</f>
        <v>1</v>
      </c>
      <c r="E6">
        <f>_xlfn.NUMBERVALUE(MID(Adatlap!$J7,E$1,1))</f>
        <v>3</v>
      </c>
      <c r="F6">
        <f>_xlfn.NUMBERVALUE(MID(Adatlap!$J7,F$1,1))</f>
        <v>2</v>
      </c>
      <c r="G6">
        <f>_xlfn.NUMBERVALUE(MID(Adatlap!$J7,G$1,1))</f>
        <v>8</v>
      </c>
      <c r="H6">
        <f>_xlfn.NUMBERVALUE(MID(Adatlap!$J7,H$1,1))</f>
        <v>8</v>
      </c>
      <c r="I6">
        <f>_xlfn.NUMBERVALUE(MID(Adatlap!$J7,I$1,1))</f>
        <v>1</v>
      </c>
      <c r="J6">
        <f>_xlfn.NUMBERVALUE(MID(Adatlap!$J7,J$1,1))</f>
        <v>5</v>
      </c>
      <c r="K6">
        <f>_xlfn.NUMBERVALUE(MID(Adatlap!$J7,K$1,1))</f>
        <v>3</v>
      </c>
      <c r="L6">
        <f t="shared" si="0"/>
        <v>200</v>
      </c>
    </row>
    <row r="7" spans="1:12" x14ac:dyDescent="0.25">
      <c r="A7">
        <v>6</v>
      </c>
      <c r="B7">
        <f>_xlfn.NUMBERVALUE(MID(Adatlap!$J8,B$1,1))</f>
        <v>8</v>
      </c>
      <c r="C7">
        <f>_xlfn.NUMBERVALUE(MID(Adatlap!$J8,C$1,1))</f>
        <v>3</v>
      </c>
      <c r="D7">
        <f>_xlfn.NUMBERVALUE(MID(Adatlap!$J8,D$1,1))</f>
        <v>9</v>
      </c>
      <c r="E7">
        <f>_xlfn.NUMBERVALUE(MID(Adatlap!$J8,E$1,1))</f>
        <v>0</v>
      </c>
      <c r="F7">
        <f>_xlfn.NUMBERVALUE(MID(Adatlap!$J8,F$1,1))</f>
        <v>2</v>
      </c>
      <c r="G7">
        <f>_xlfn.NUMBERVALUE(MID(Adatlap!$J8,G$1,1))</f>
        <v>9</v>
      </c>
      <c r="H7">
        <f>_xlfn.NUMBERVALUE(MID(Adatlap!$J8,H$1,1))</f>
        <v>1</v>
      </c>
      <c r="I7">
        <f>_xlfn.NUMBERVALUE(MID(Adatlap!$J8,I$1,1))</f>
        <v>0</v>
      </c>
      <c r="J7">
        <f>_xlfn.NUMBERVALUE(MID(Adatlap!$J8,J$1,1))</f>
        <v>6</v>
      </c>
      <c r="K7">
        <f>_xlfn.NUMBERVALUE(MID(Adatlap!$J8,K$1,1))</f>
        <v>1</v>
      </c>
      <c r="L7">
        <f t="shared" si="0"/>
        <v>166</v>
      </c>
    </row>
    <row r="8" spans="1:12" x14ac:dyDescent="0.25">
      <c r="A8">
        <v>7</v>
      </c>
      <c r="B8">
        <f>_xlfn.NUMBERVALUE(MID(Adatlap!$J9,B$1,1))</f>
        <v>8</v>
      </c>
      <c r="C8">
        <f>_xlfn.NUMBERVALUE(MID(Adatlap!$J9,C$1,1))</f>
        <v>4</v>
      </c>
      <c r="D8">
        <f>_xlfn.NUMBERVALUE(MID(Adatlap!$J9,D$1,1))</f>
        <v>8</v>
      </c>
      <c r="E8">
        <f>_xlfn.NUMBERVALUE(MID(Adatlap!$J9,E$1,1))</f>
        <v>6</v>
      </c>
      <c r="F8">
        <f>_xlfn.NUMBERVALUE(MID(Adatlap!$J9,F$1,1))</f>
        <v>7</v>
      </c>
      <c r="G8">
        <f>_xlfn.NUMBERVALUE(MID(Adatlap!$J9,G$1,1))</f>
        <v>3</v>
      </c>
      <c r="H8">
        <f>_xlfn.NUMBERVALUE(MID(Adatlap!$J9,H$1,1))</f>
        <v>5</v>
      </c>
      <c r="I8">
        <f>_xlfn.NUMBERVALUE(MID(Adatlap!$J9,I$1,1))</f>
        <v>5</v>
      </c>
      <c r="J8">
        <f>_xlfn.NUMBERVALUE(MID(Adatlap!$J9,J$1,1))</f>
        <v>6</v>
      </c>
      <c r="K8">
        <f>_xlfn.NUMBERVALUE(MID(Adatlap!$J9,K$1,1))</f>
        <v>4</v>
      </c>
      <c r="L8">
        <f t="shared" si="0"/>
        <v>246</v>
      </c>
    </row>
    <row r="9" spans="1:12" x14ac:dyDescent="0.25">
      <c r="A9">
        <v>8</v>
      </c>
      <c r="B9">
        <f>_xlfn.NUMBERVALUE(MID(Adatlap!$J10,B$1,1))</f>
        <v>8</v>
      </c>
      <c r="C9">
        <f>_xlfn.NUMBERVALUE(MID(Adatlap!$J10,C$1,1))</f>
        <v>3</v>
      </c>
      <c r="D9">
        <f>_xlfn.NUMBERVALUE(MID(Adatlap!$J10,D$1,1))</f>
        <v>9</v>
      </c>
      <c r="E9">
        <f>_xlfn.NUMBERVALUE(MID(Adatlap!$J10,E$1,1))</f>
        <v>9</v>
      </c>
      <c r="F9">
        <f>_xlfn.NUMBERVALUE(MID(Adatlap!$J10,F$1,1))</f>
        <v>4</v>
      </c>
      <c r="G9">
        <f>_xlfn.NUMBERVALUE(MID(Adatlap!$J10,G$1,1))</f>
        <v>6</v>
      </c>
      <c r="H9">
        <f>_xlfn.NUMBERVALUE(MID(Adatlap!$J10,H$1,1))</f>
        <v>9</v>
      </c>
      <c r="I9">
        <f>_xlfn.NUMBERVALUE(MID(Adatlap!$J10,I$1,1))</f>
        <v>2</v>
      </c>
      <c r="J9">
        <f>_xlfn.NUMBERVALUE(MID(Adatlap!$J10,J$1,1))</f>
        <v>3</v>
      </c>
      <c r="K9">
        <f>_xlfn.NUMBERVALUE(MID(Adatlap!$J10,K$1,1))</f>
        <v>8</v>
      </c>
      <c r="L9">
        <f t="shared" si="0"/>
        <v>239</v>
      </c>
    </row>
    <row r="10" spans="1:12" x14ac:dyDescent="0.25">
      <c r="A10">
        <v>9</v>
      </c>
      <c r="B10">
        <f>_xlfn.NUMBERVALUE(MID(Adatlap!$J11,B$1,1))</f>
        <v>8</v>
      </c>
      <c r="C10">
        <f>_xlfn.NUMBERVALUE(MID(Adatlap!$J11,C$1,1))</f>
        <v>4</v>
      </c>
      <c r="D10">
        <f>_xlfn.NUMBERVALUE(MID(Adatlap!$J11,D$1,1))</f>
        <v>2</v>
      </c>
      <c r="E10">
        <f>_xlfn.NUMBERVALUE(MID(Adatlap!$J11,E$1,1))</f>
        <v>8</v>
      </c>
      <c r="F10">
        <f>_xlfn.NUMBERVALUE(MID(Adatlap!$J11,F$1,1))</f>
        <v>5</v>
      </c>
      <c r="G10">
        <f>_xlfn.NUMBERVALUE(MID(Adatlap!$J11,G$1,1))</f>
        <v>4</v>
      </c>
      <c r="H10">
        <f>_xlfn.NUMBERVALUE(MID(Adatlap!$J11,H$1,1))</f>
        <v>8</v>
      </c>
      <c r="I10">
        <f>_xlfn.NUMBERVALUE(MID(Adatlap!$J11,I$1,1))</f>
        <v>3</v>
      </c>
      <c r="J10">
        <f>_xlfn.NUMBERVALUE(MID(Adatlap!$J11,J$1,1))</f>
        <v>5</v>
      </c>
      <c r="K10">
        <f>_xlfn.NUMBERVALUE(MID(Adatlap!$J11,K$1,1))</f>
        <v>8</v>
      </c>
      <c r="L10">
        <f t="shared" si="0"/>
        <v>228</v>
      </c>
    </row>
    <row r="11" spans="1:12" x14ac:dyDescent="0.25">
      <c r="A11">
        <v>10</v>
      </c>
      <c r="B11">
        <f>_xlfn.NUMBERVALUE(MID(Adatlap!$J12,B$1,1))</f>
        <v>8</v>
      </c>
      <c r="C11">
        <f>_xlfn.NUMBERVALUE(MID(Adatlap!$J12,C$1,1))</f>
        <v>4</v>
      </c>
      <c r="D11">
        <f>_xlfn.NUMBERVALUE(MID(Adatlap!$J12,D$1,1))</f>
        <v>1</v>
      </c>
      <c r="E11">
        <f>_xlfn.NUMBERVALUE(MID(Adatlap!$J12,E$1,1))</f>
        <v>8</v>
      </c>
      <c r="F11">
        <f>_xlfn.NUMBERVALUE(MID(Adatlap!$J12,F$1,1))</f>
        <v>7</v>
      </c>
      <c r="G11">
        <f>_xlfn.NUMBERVALUE(MID(Adatlap!$J12,G$1,1))</f>
        <v>7</v>
      </c>
      <c r="H11">
        <f>_xlfn.NUMBERVALUE(MID(Adatlap!$J12,H$1,1))</f>
        <v>2</v>
      </c>
      <c r="I11">
        <f>_xlfn.NUMBERVALUE(MID(Adatlap!$J12,I$1,1))</f>
        <v>7</v>
      </c>
      <c r="J11">
        <f>_xlfn.NUMBERVALUE(MID(Adatlap!$J12,J$1,1))</f>
        <v>9</v>
      </c>
      <c r="K11">
        <f>_xlfn.NUMBERVALUE(MID(Adatlap!$J12,K$1,1))</f>
        <v>4</v>
      </c>
      <c r="L11">
        <f t="shared" si="0"/>
        <v>279</v>
      </c>
    </row>
    <row r="12" spans="1:12" x14ac:dyDescent="0.25">
      <c r="A12">
        <v>11</v>
      </c>
      <c r="B12">
        <f>_xlfn.NUMBERVALUE(MID(Adatlap!$J13,B$1,1))</f>
        <v>8</v>
      </c>
      <c r="C12">
        <f>_xlfn.NUMBERVALUE(MID(Adatlap!$J13,C$1,1))</f>
        <v>3</v>
      </c>
      <c r="D12">
        <f>_xlfn.NUMBERVALUE(MID(Adatlap!$J13,D$1,1))</f>
        <v>2</v>
      </c>
      <c r="E12">
        <f>_xlfn.NUMBERVALUE(MID(Adatlap!$J13,E$1,1))</f>
        <v>8</v>
      </c>
      <c r="F12">
        <f>_xlfn.NUMBERVALUE(MID(Adatlap!$J13,F$1,1))</f>
        <v>3</v>
      </c>
      <c r="G12">
        <f>_xlfn.NUMBERVALUE(MID(Adatlap!$J13,G$1,1))</f>
        <v>5</v>
      </c>
      <c r="H12">
        <f>_xlfn.NUMBERVALUE(MID(Adatlap!$J13,H$1,1))</f>
        <v>7</v>
      </c>
      <c r="I12">
        <f>_xlfn.NUMBERVALUE(MID(Adatlap!$J13,I$1,1))</f>
        <v>2</v>
      </c>
      <c r="J12">
        <f>_xlfn.NUMBERVALUE(MID(Adatlap!$J13,J$1,1))</f>
        <v>4</v>
      </c>
      <c r="K12">
        <f>_xlfn.NUMBERVALUE(MID(Adatlap!$J13,K$1,1))</f>
        <v>0</v>
      </c>
      <c r="L12">
        <f t="shared" si="0"/>
        <v>198</v>
      </c>
    </row>
    <row r="13" spans="1:12" x14ac:dyDescent="0.25">
      <c r="A13">
        <v>12</v>
      </c>
      <c r="B13">
        <f>_xlfn.NUMBERVALUE(MID(Adatlap!$J14,B$1,1))</f>
        <v>8</v>
      </c>
      <c r="C13">
        <f>_xlfn.NUMBERVALUE(MID(Adatlap!$J14,C$1,1))</f>
        <v>3</v>
      </c>
      <c r="D13">
        <f>_xlfn.NUMBERVALUE(MID(Adatlap!$J14,D$1,1))</f>
        <v>5</v>
      </c>
      <c r="E13">
        <f>_xlfn.NUMBERVALUE(MID(Adatlap!$J14,E$1,1))</f>
        <v>7</v>
      </c>
      <c r="F13">
        <f>_xlfn.NUMBERVALUE(MID(Adatlap!$J14,F$1,1))</f>
        <v>3</v>
      </c>
      <c r="G13">
        <f>_xlfn.NUMBERVALUE(MID(Adatlap!$J14,G$1,1))</f>
        <v>6</v>
      </c>
      <c r="H13">
        <f>_xlfn.NUMBERVALUE(MID(Adatlap!$J14,H$1,1))</f>
        <v>4</v>
      </c>
      <c r="I13">
        <f>_xlfn.NUMBERVALUE(MID(Adatlap!$J14,I$1,1))</f>
        <v>0</v>
      </c>
      <c r="J13">
        <f>_xlfn.NUMBERVALUE(MID(Adatlap!$J14,J$1,1))</f>
        <v>0</v>
      </c>
      <c r="K13">
        <f>_xlfn.NUMBERVALUE(MID(Adatlap!$J14,K$1,1))</f>
        <v>4</v>
      </c>
      <c r="L13">
        <f t="shared" si="0"/>
        <v>136</v>
      </c>
    </row>
    <row r="14" spans="1:12" x14ac:dyDescent="0.25">
      <c r="A14">
        <v>13</v>
      </c>
      <c r="B14">
        <f>_xlfn.NUMBERVALUE(MID(Adatlap!$J15,B$1,1))</f>
        <v>8</v>
      </c>
      <c r="C14">
        <f>_xlfn.NUMBERVALUE(MID(Adatlap!$J15,C$1,1))</f>
        <v>4</v>
      </c>
      <c r="D14">
        <f>_xlfn.NUMBERVALUE(MID(Adatlap!$J15,D$1,1))</f>
        <v>3</v>
      </c>
      <c r="E14">
        <f>_xlfn.NUMBERVALUE(MID(Adatlap!$J15,E$1,1))</f>
        <v>0</v>
      </c>
      <c r="F14">
        <f>_xlfn.NUMBERVALUE(MID(Adatlap!$J15,F$1,1))</f>
        <v>4</v>
      </c>
      <c r="G14">
        <f>_xlfn.NUMBERVALUE(MID(Adatlap!$J15,G$1,1))</f>
        <v>0</v>
      </c>
      <c r="H14">
        <f>_xlfn.NUMBERVALUE(MID(Adatlap!$J15,H$1,1))</f>
        <v>8</v>
      </c>
      <c r="I14">
        <f>_xlfn.NUMBERVALUE(MID(Adatlap!$J15,I$1,1))</f>
        <v>1</v>
      </c>
      <c r="J14">
        <f>_xlfn.NUMBERVALUE(MID(Adatlap!$J15,J$1,1))</f>
        <v>6</v>
      </c>
      <c r="K14">
        <f>_xlfn.NUMBERVALUE(MID(Adatlap!$J15,K$1,1))</f>
        <v>9</v>
      </c>
      <c r="L14">
        <f t="shared" si="0"/>
        <v>163</v>
      </c>
    </row>
    <row r="15" spans="1:12" x14ac:dyDescent="0.25">
      <c r="A15">
        <v>14</v>
      </c>
      <c r="B15">
        <f>_xlfn.NUMBERVALUE(MID(Adatlap!$J16,B$1,1))</f>
        <v>8</v>
      </c>
      <c r="C15">
        <f>_xlfn.NUMBERVALUE(MID(Adatlap!$J16,C$1,1))</f>
        <v>4</v>
      </c>
      <c r="D15">
        <f>_xlfn.NUMBERVALUE(MID(Adatlap!$J16,D$1,1))</f>
        <v>1</v>
      </c>
      <c r="E15">
        <f>_xlfn.NUMBERVALUE(MID(Adatlap!$J16,E$1,1))</f>
        <v>2</v>
      </c>
      <c r="F15">
        <f>_xlfn.NUMBERVALUE(MID(Adatlap!$J16,F$1,1))</f>
        <v>3</v>
      </c>
      <c r="G15">
        <f>_xlfn.NUMBERVALUE(MID(Adatlap!$J16,G$1,1))</f>
        <v>4</v>
      </c>
      <c r="H15">
        <f>_xlfn.NUMBERVALUE(MID(Adatlap!$J16,H$1,1))</f>
        <v>1</v>
      </c>
      <c r="I15">
        <f>_xlfn.NUMBERVALUE(MID(Adatlap!$J16,I$1,1))</f>
        <v>6</v>
      </c>
      <c r="J15">
        <f>_xlfn.NUMBERVALUE(MID(Adatlap!$J16,J$1,1))</f>
        <v>0</v>
      </c>
      <c r="K15">
        <f>_xlfn.NUMBERVALUE(MID(Adatlap!$J16,K$1,1))</f>
        <v>0</v>
      </c>
      <c r="L15">
        <f t="shared" si="0"/>
        <v>121</v>
      </c>
    </row>
    <row r="16" spans="1:12" x14ac:dyDescent="0.25">
      <c r="A16">
        <v>15</v>
      </c>
      <c r="B16">
        <f>_xlfn.NUMBERVALUE(MID(Adatlap!$J17,B$1,1))</f>
        <v>8</v>
      </c>
      <c r="C16">
        <f>_xlfn.NUMBERVALUE(MID(Adatlap!$J17,C$1,1))</f>
        <v>4</v>
      </c>
      <c r="D16">
        <f>_xlfn.NUMBERVALUE(MID(Adatlap!$J17,D$1,1))</f>
        <v>2</v>
      </c>
      <c r="E16">
        <f>_xlfn.NUMBERVALUE(MID(Adatlap!$J17,E$1,1))</f>
        <v>5</v>
      </c>
      <c r="F16">
        <f>_xlfn.NUMBERVALUE(MID(Adatlap!$J17,F$1,1))</f>
        <v>5</v>
      </c>
      <c r="G16">
        <f>_xlfn.NUMBERVALUE(MID(Adatlap!$J17,G$1,1))</f>
        <v>9</v>
      </c>
      <c r="H16">
        <f>_xlfn.NUMBERVALUE(MID(Adatlap!$J17,H$1,1))</f>
        <v>5</v>
      </c>
      <c r="I16">
        <f>_xlfn.NUMBERVALUE(MID(Adatlap!$J17,I$1,1))</f>
        <v>7</v>
      </c>
      <c r="J16">
        <f>_xlfn.NUMBERVALUE(MID(Adatlap!$J17,J$1,1))</f>
        <v>6</v>
      </c>
      <c r="K16">
        <f>_xlfn.NUMBERVALUE(MID(Adatlap!$J17,K$1,1))</f>
        <v>2</v>
      </c>
      <c r="L16">
        <f t="shared" si="0"/>
        <v>266</v>
      </c>
    </row>
    <row r="17" spans="1:12" x14ac:dyDescent="0.25">
      <c r="A17">
        <v>16</v>
      </c>
      <c r="B17">
        <f>_xlfn.NUMBERVALUE(MID(Adatlap!$J18,B$1,1))</f>
        <v>8</v>
      </c>
      <c r="C17">
        <f>_xlfn.NUMBERVALUE(MID(Adatlap!$J18,C$1,1))</f>
        <v>3</v>
      </c>
      <c r="D17">
        <f>_xlfn.NUMBERVALUE(MID(Adatlap!$J18,D$1,1))</f>
        <v>6</v>
      </c>
      <c r="E17">
        <f>_xlfn.NUMBERVALUE(MID(Adatlap!$J18,E$1,1))</f>
        <v>5</v>
      </c>
      <c r="F17">
        <f>_xlfn.NUMBERVALUE(MID(Adatlap!$J18,F$1,1))</f>
        <v>1</v>
      </c>
      <c r="G17">
        <f>_xlfn.NUMBERVALUE(MID(Adatlap!$J18,G$1,1))</f>
        <v>3</v>
      </c>
      <c r="H17">
        <f>_xlfn.NUMBERVALUE(MID(Adatlap!$J18,H$1,1))</f>
        <v>7</v>
      </c>
      <c r="I17">
        <f>_xlfn.NUMBERVALUE(MID(Adatlap!$J18,I$1,1))</f>
        <v>9</v>
      </c>
      <c r="J17">
        <f>_xlfn.NUMBERVALUE(MID(Adatlap!$J18,J$1,1))</f>
        <v>9</v>
      </c>
      <c r="K17">
        <f>_xlfn.NUMBERVALUE(MID(Adatlap!$J18,K$1,1))</f>
        <v>2</v>
      </c>
      <c r="L17">
        <f t="shared" si="0"/>
        <v>277</v>
      </c>
    </row>
    <row r="18" spans="1:12" x14ac:dyDescent="0.25">
      <c r="A18">
        <v>17</v>
      </c>
      <c r="B18">
        <f>_xlfn.NUMBERVALUE(MID(Adatlap!$J19,B$1,1))</f>
        <v>8</v>
      </c>
      <c r="C18">
        <f>_xlfn.NUMBERVALUE(MID(Adatlap!$J19,C$1,1))</f>
        <v>3</v>
      </c>
      <c r="D18">
        <f>_xlfn.NUMBERVALUE(MID(Adatlap!$J19,D$1,1))</f>
        <v>8</v>
      </c>
      <c r="E18">
        <f>_xlfn.NUMBERVALUE(MID(Adatlap!$J19,E$1,1))</f>
        <v>8</v>
      </c>
      <c r="F18">
        <f>_xlfn.NUMBERVALUE(MID(Adatlap!$J19,F$1,1))</f>
        <v>1</v>
      </c>
      <c r="G18">
        <f>_xlfn.NUMBERVALUE(MID(Adatlap!$J19,G$1,1))</f>
        <v>5</v>
      </c>
      <c r="H18">
        <f>_xlfn.NUMBERVALUE(MID(Adatlap!$J19,H$1,1))</f>
        <v>9</v>
      </c>
      <c r="I18">
        <f>_xlfn.NUMBERVALUE(MID(Adatlap!$J19,I$1,1))</f>
        <v>7</v>
      </c>
      <c r="J18">
        <f>_xlfn.NUMBERVALUE(MID(Adatlap!$J19,J$1,1))</f>
        <v>3</v>
      </c>
      <c r="K18">
        <f>_xlfn.NUMBERVALUE(MID(Adatlap!$J19,K$1,1))</f>
        <v>9</v>
      </c>
      <c r="L18">
        <f t="shared" si="0"/>
        <v>251</v>
      </c>
    </row>
    <row r="19" spans="1:12" x14ac:dyDescent="0.25">
      <c r="A19">
        <v>18</v>
      </c>
      <c r="B19">
        <f>_xlfn.NUMBERVALUE(MID(Adatlap!$J20,B$1,1))</f>
        <v>8</v>
      </c>
      <c r="C19">
        <f>_xlfn.NUMBERVALUE(MID(Adatlap!$J20,C$1,1))</f>
        <v>5</v>
      </c>
      <c r="D19">
        <f>_xlfn.NUMBERVALUE(MID(Adatlap!$J20,D$1,1))</f>
        <v>2</v>
      </c>
      <c r="E19">
        <f>_xlfn.NUMBERVALUE(MID(Adatlap!$J20,E$1,1))</f>
        <v>0</v>
      </c>
      <c r="F19">
        <f>_xlfn.NUMBERVALUE(MID(Adatlap!$J20,F$1,1))</f>
        <v>3</v>
      </c>
      <c r="G19">
        <f>_xlfn.NUMBERVALUE(MID(Adatlap!$J20,G$1,1))</f>
        <v>6</v>
      </c>
      <c r="H19">
        <f>_xlfn.NUMBERVALUE(MID(Adatlap!$J20,H$1,1))</f>
        <v>6</v>
      </c>
      <c r="I19">
        <f>_xlfn.NUMBERVALUE(MID(Adatlap!$J20,I$1,1))</f>
        <v>4</v>
      </c>
      <c r="J19">
        <f>_xlfn.NUMBERVALUE(MID(Adatlap!$J20,J$1,1))</f>
        <v>5</v>
      </c>
      <c r="K19">
        <f>_xlfn.NUMBERVALUE(MID(Adatlap!$J20,K$1,1))</f>
        <v>7</v>
      </c>
      <c r="L19">
        <f t="shared" si="0"/>
        <v>194</v>
      </c>
    </row>
    <row r="20" spans="1:12" x14ac:dyDescent="0.25">
      <c r="A20">
        <v>19</v>
      </c>
      <c r="B20">
        <f>_xlfn.NUMBERVALUE(MID(Adatlap!$J21,B$1,1))</f>
        <v>8</v>
      </c>
      <c r="C20">
        <f>_xlfn.NUMBERVALUE(MID(Adatlap!$J21,C$1,1))</f>
        <v>5</v>
      </c>
      <c r="D20">
        <f>_xlfn.NUMBERVALUE(MID(Adatlap!$J21,D$1,1))</f>
        <v>2</v>
      </c>
      <c r="E20">
        <f>_xlfn.NUMBERVALUE(MID(Adatlap!$J21,E$1,1))</f>
        <v>8</v>
      </c>
      <c r="F20">
        <f>_xlfn.NUMBERVALUE(MID(Adatlap!$J21,F$1,1))</f>
        <v>6</v>
      </c>
      <c r="G20">
        <f>_xlfn.NUMBERVALUE(MID(Adatlap!$J21,G$1,1))</f>
        <v>7</v>
      </c>
      <c r="H20">
        <f>_xlfn.NUMBERVALUE(MID(Adatlap!$J21,H$1,1))</f>
        <v>3</v>
      </c>
      <c r="I20">
        <f>_xlfn.NUMBERVALUE(MID(Adatlap!$J21,I$1,1))</f>
        <v>4</v>
      </c>
      <c r="J20">
        <f>_xlfn.NUMBERVALUE(MID(Adatlap!$J21,J$1,1))</f>
        <v>8</v>
      </c>
      <c r="K20">
        <f>_xlfn.NUMBERVALUE(MID(Adatlap!$J21,K$1,1))</f>
        <v>1</v>
      </c>
      <c r="L20">
        <f t="shared" si="0"/>
        <v>253</v>
      </c>
    </row>
    <row r="21" spans="1:12" x14ac:dyDescent="0.25">
      <c r="A21">
        <v>20</v>
      </c>
      <c r="B21">
        <f>_xlfn.NUMBERVALUE(MID(Adatlap!$J22,B$1,1))</f>
        <v>8</v>
      </c>
      <c r="C21">
        <f>_xlfn.NUMBERVALUE(MID(Adatlap!$J22,C$1,1))</f>
        <v>4</v>
      </c>
      <c r="D21">
        <f>_xlfn.NUMBERVALUE(MID(Adatlap!$J22,D$1,1))</f>
        <v>2</v>
      </c>
      <c r="E21">
        <f>_xlfn.NUMBERVALUE(MID(Adatlap!$J22,E$1,1))</f>
        <v>8</v>
      </c>
      <c r="F21">
        <f>_xlfn.NUMBERVALUE(MID(Adatlap!$J22,F$1,1))</f>
        <v>1</v>
      </c>
      <c r="G21">
        <f>_xlfn.NUMBERVALUE(MID(Adatlap!$J22,G$1,1))</f>
        <v>6</v>
      </c>
      <c r="H21">
        <f>_xlfn.NUMBERVALUE(MID(Adatlap!$J22,H$1,1))</f>
        <v>9</v>
      </c>
      <c r="I21">
        <f>_xlfn.NUMBERVALUE(MID(Adatlap!$J22,I$1,1))</f>
        <v>0</v>
      </c>
      <c r="J21">
        <f>_xlfn.NUMBERVALUE(MID(Adatlap!$J22,J$1,1))</f>
        <v>4</v>
      </c>
      <c r="K21">
        <f>_xlfn.NUMBERVALUE(MID(Adatlap!$J22,K$1,1))</f>
        <v>7</v>
      </c>
      <c r="L21">
        <f t="shared" si="0"/>
        <v>194</v>
      </c>
    </row>
    <row r="22" spans="1:12" x14ac:dyDescent="0.25">
      <c r="A22">
        <v>21</v>
      </c>
      <c r="B22">
        <f>_xlfn.NUMBERVALUE(MID(Adatlap!$J23,B$1,1))</f>
        <v>8</v>
      </c>
      <c r="C22">
        <f>_xlfn.NUMBERVALUE(MID(Adatlap!$J23,C$1,1))</f>
        <v>3</v>
      </c>
      <c r="D22">
        <f>_xlfn.NUMBERVALUE(MID(Adatlap!$J23,D$1,1))</f>
        <v>5</v>
      </c>
      <c r="E22">
        <f>_xlfn.NUMBERVALUE(MID(Adatlap!$J23,E$1,1))</f>
        <v>3</v>
      </c>
      <c r="F22">
        <f>_xlfn.NUMBERVALUE(MID(Adatlap!$J23,F$1,1))</f>
        <v>5</v>
      </c>
      <c r="G22">
        <f>_xlfn.NUMBERVALUE(MID(Adatlap!$J23,G$1,1))</f>
        <v>4</v>
      </c>
      <c r="H22">
        <f>_xlfn.NUMBERVALUE(MID(Adatlap!$J23,H$1,1))</f>
        <v>3</v>
      </c>
      <c r="I22">
        <f>_xlfn.NUMBERVALUE(MID(Adatlap!$J23,I$1,1))</f>
        <v>0</v>
      </c>
      <c r="J22">
        <f>_xlfn.NUMBERVALUE(MID(Adatlap!$J23,J$1,1))</f>
        <v>3</v>
      </c>
      <c r="K22">
        <f>_xlfn.NUMBERVALUE(MID(Adatlap!$J23,K$1,1))</f>
        <v>6</v>
      </c>
      <c r="L22">
        <f t="shared" si="0"/>
        <v>138</v>
      </c>
    </row>
    <row r="23" spans="1:12" x14ac:dyDescent="0.25">
      <c r="A23">
        <v>22</v>
      </c>
      <c r="B23">
        <f>_xlfn.NUMBERVALUE(MID(Adatlap!$J24,B$1,1))</f>
        <v>8</v>
      </c>
      <c r="C23">
        <f>_xlfn.NUMBERVALUE(MID(Adatlap!$J24,C$1,1))</f>
        <v>4</v>
      </c>
      <c r="D23">
        <f>_xlfn.NUMBERVALUE(MID(Adatlap!$J24,D$1,1))</f>
        <v>8</v>
      </c>
      <c r="E23">
        <f>_xlfn.NUMBERVALUE(MID(Adatlap!$J24,E$1,1))</f>
        <v>3</v>
      </c>
      <c r="F23">
        <f>_xlfn.NUMBERVALUE(MID(Adatlap!$J24,F$1,1))</f>
        <v>3</v>
      </c>
      <c r="G23">
        <f>_xlfn.NUMBERVALUE(MID(Adatlap!$J24,G$1,1))</f>
        <v>0</v>
      </c>
      <c r="H23">
        <f>_xlfn.NUMBERVALUE(MID(Adatlap!$J24,H$1,1))</f>
        <v>7</v>
      </c>
      <c r="I23">
        <f>_xlfn.NUMBERVALUE(MID(Adatlap!$J24,I$1,1))</f>
        <v>8</v>
      </c>
      <c r="J23">
        <f>_xlfn.NUMBERVALUE(MID(Adatlap!$J24,J$1,1))</f>
        <v>6</v>
      </c>
      <c r="K23">
        <f>_xlfn.NUMBERVALUE(MID(Adatlap!$J24,K$1,1))</f>
        <v>4</v>
      </c>
      <c r="L23">
        <f t="shared" si="0"/>
        <v>234</v>
      </c>
    </row>
    <row r="24" spans="1:12" x14ac:dyDescent="0.25">
      <c r="A24">
        <v>23</v>
      </c>
      <c r="B24">
        <f>_xlfn.NUMBERVALUE(MID(Adatlap!$J25,B$1,1))</f>
        <v>8</v>
      </c>
      <c r="C24">
        <f>_xlfn.NUMBERVALUE(MID(Adatlap!$J25,C$1,1))</f>
        <v>3</v>
      </c>
      <c r="D24">
        <f>_xlfn.NUMBERVALUE(MID(Adatlap!$J25,D$1,1))</f>
        <v>7</v>
      </c>
      <c r="E24">
        <f>_xlfn.NUMBERVALUE(MID(Adatlap!$J25,E$1,1))</f>
        <v>7</v>
      </c>
      <c r="F24">
        <f>_xlfn.NUMBERVALUE(MID(Adatlap!$J25,F$1,1))</f>
        <v>8</v>
      </c>
      <c r="G24">
        <f>_xlfn.NUMBERVALUE(MID(Adatlap!$J25,G$1,1))</f>
        <v>5</v>
      </c>
      <c r="H24">
        <f>_xlfn.NUMBERVALUE(MID(Adatlap!$J25,H$1,1))</f>
        <v>2</v>
      </c>
      <c r="I24">
        <f>_xlfn.NUMBERVALUE(MID(Adatlap!$J25,I$1,1))</f>
        <v>6</v>
      </c>
      <c r="J24">
        <f>_xlfn.NUMBERVALUE(MID(Adatlap!$J25,J$1,1))</f>
        <v>7</v>
      </c>
      <c r="K24">
        <f>_xlfn.NUMBERVALUE(MID(Adatlap!$J25,K$1,1))</f>
        <v>5</v>
      </c>
      <c r="L24">
        <f t="shared" si="0"/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Adatlap</vt:lpstr>
      <vt:lpstr>Feldolgozás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Konyhási Máté</dc:creator>
  <cp:lastModifiedBy>Konyhási Máté</cp:lastModifiedBy>
  <dcterms:created xsi:type="dcterms:W3CDTF">2026-04-13T10:27:06Z</dcterms:created>
  <dcterms:modified xsi:type="dcterms:W3CDTF">2026-04-13T11:01:52Z</dcterms:modified>
</cp:coreProperties>
</file>